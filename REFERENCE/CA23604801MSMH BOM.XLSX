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99\CraftAuto-Production\Motor Control\SSMS-LC-PNU\CA23604801MSMH-02 - Prison City\Bill of Material\Design\"/>
    </mc:Choice>
  </mc:AlternateContent>
  <xr:revisionPtr revIDLastSave="0" documentId="13_ncr:1_{5528E5BE-EA3E-4F8C-A3C4-222235D8C297}" xr6:coauthVersionLast="47" xr6:coauthVersionMax="47" xr10:uidLastSave="{00000000-0000-0000-0000-000000000000}"/>
  <bookViews>
    <workbookView xWindow="-28920" yWindow="-600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Sheet1!$A$10:$J$50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I34" i="1"/>
  <c r="I35" i="1"/>
  <c r="I32" i="1"/>
  <c r="I31" i="1"/>
  <c r="I22" i="1"/>
  <c r="I13" i="1"/>
  <c r="I12" i="1"/>
  <c r="I28" i="1"/>
  <c r="I27" i="1"/>
  <c r="I26" i="1"/>
  <c r="I42" i="1"/>
  <c r="I23" i="1"/>
  <c r="I17" i="1"/>
  <c r="I18" i="1"/>
  <c r="I19" i="1"/>
  <c r="I20" i="1"/>
  <c r="I21" i="1"/>
  <c r="I16" i="1"/>
  <c r="I39" i="1"/>
  <c r="I40" i="1"/>
  <c r="I41" i="1"/>
  <c r="I43" i="1" l="1"/>
  <c r="I46" i="1" l="1"/>
  <c r="I45" i="1"/>
  <c r="I44" i="1"/>
  <c r="I47" i="1"/>
  <c r="I48" i="1"/>
  <c r="I50" i="1" l="1"/>
</calcChain>
</file>

<file path=xl/sharedStrings.xml><?xml version="1.0" encoding="utf-8"?>
<sst xmlns="http://schemas.openxmlformats.org/spreadsheetml/2006/main" count="153" uniqueCount="96">
  <si>
    <t>Bill of Material</t>
  </si>
  <si>
    <t>Purpose:</t>
  </si>
  <si>
    <t>Project:</t>
  </si>
  <si>
    <t>Schematic:</t>
  </si>
  <si>
    <t>ID</t>
  </si>
  <si>
    <t>Description</t>
  </si>
  <si>
    <t>Qty</t>
  </si>
  <si>
    <t>Cost</t>
  </si>
  <si>
    <t>Total Cost</t>
  </si>
  <si>
    <t>Vendor</t>
  </si>
  <si>
    <t>SW</t>
  </si>
  <si>
    <t>TB</t>
  </si>
  <si>
    <t>Material Cost</t>
  </si>
  <si>
    <t>KDL</t>
  </si>
  <si>
    <t>DR</t>
  </si>
  <si>
    <t>WR</t>
  </si>
  <si>
    <t>DIN Rail 6' 6"</t>
  </si>
  <si>
    <t>Model</t>
  </si>
  <si>
    <t>CON</t>
  </si>
  <si>
    <t>THHN Wire 600V</t>
  </si>
  <si>
    <t>SAF</t>
  </si>
  <si>
    <t>12 Ga. Wire</t>
  </si>
  <si>
    <t>MCM</t>
  </si>
  <si>
    <t>5891T821</t>
  </si>
  <si>
    <t>Lock Out Safety 1.75X2.5</t>
  </si>
  <si>
    <t>5891T621</t>
  </si>
  <si>
    <t>Electrical Hazard 1.75X2.5</t>
  </si>
  <si>
    <t>SGN</t>
  </si>
  <si>
    <t>LBL</t>
  </si>
  <si>
    <t>Craft Decal</t>
  </si>
  <si>
    <t>Craft Automation Decal</t>
  </si>
  <si>
    <t>GLA</t>
  </si>
  <si>
    <t>1SNK705012R0000</t>
  </si>
  <si>
    <t>ZK2.5-4P Gray 20A 4pt 12 AWG</t>
  </si>
  <si>
    <t>1SNK705912R0000</t>
  </si>
  <si>
    <t>EK2.5-4P End Section</t>
  </si>
  <si>
    <t xml:space="preserve">ENT BAM2 End Anchor </t>
  </si>
  <si>
    <t>MMP</t>
  </si>
  <si>
    <t>ENCLOSURE</t>
  </si>
  <si>
    <t>COMPONENTS</t>
  </si>
  <si>
    <t>PS</t>
  </si>
  <si>
    <t>PS5R-VD24</t>
  </si>
  <si>
    <t>24VDC 2.5A 60VA Slim 85-264VAC</t>
  </si>
  <si>
    <t>800FP-LSM33PN3GX20</t>
  </si>
  <si>
    <r>
      <rPr>
        <b/>
        <sz val="11"/>
        <color theme="1"/>
        <rFont val="Tahoma"/>
        <family val="2"/>
      </rPr>
      <t>3 POS 2NO</t>
    </r>
    <r>
      <rPr>
        <sz val="11"/>
        <color theme="1"/>
        <rFont val="Tahoma"/>
        <family val="2"/>
      </rPr>
      <t xml:space="preserve"> Illuminated Switch, </t>
    </r>
    <r>
      <rPr>
        <b/>
        <sz val="11"/>
        <color theme="1"/>
        <rFont val="Tahoma"/>
        <family val="2"/>
      </rPr>
      <t xml:space="preserve">Green 24V </t>
    </r>
    <r>
      <rPr>
        <sz val="11"/>
        <color theme="1"/>
        <rFont val="Tahoma"/>
        <family val="2"/>
      </rPr>
      <t>LED</t>
    </r>
  </si>
  <si>
    <t>XTPAXFA11</t>
  </si>
  <si>
    <t>EATON - MMP Front Under Mount Auxiliary</t>
  </si>
  <si>
    <t>XTPAXEMCB</t>
  </si>
  <si>
    <t>EATON - Connecting Link for MMP/CON Frame B:B</t>
  </si>
  <si>
    <t>XTCE009B10TD</t>
  </si>
  <si>
    <r>
      <t>EATON -</t>
    </r>
    <r>
      <rPr>
        <b/>
        <sz val="11"/>
        <color theme="1"/>
        <rFont val="Tahoma"/>
        <family val="2"/>
      </rPr>
      <t xml:space="preserve"> 9A (20A Gen.)</t>
    </r>
    <r>
      <rPr>
        <sz val="11"/>
        <color theme="1"/>
        <rFont val="Tahoma"/>
        <family val="2"/>
      </rPr>
      <t xml:space="preserve"> Contactor 3P 1 N.O. </t>
    </r>
    <r>
      <rPr>
        <b/>
        <sz val="11"/>
        <color theme="1"/>
        <rFont val="Tahoma"/>
        <family val="2"/>
      </rPr>
      <t>DC</t>
    </r>
    <r>
      <rPr>
        <sz val="11"/>
        <color theme="1"/>
        <rFont val="Tahoma"/>
        <family val="2"/>
      </rPr>
      <t xml:space="preserve"> </t>
    </r>
    <r>
      <rPr>
        <b/>
        <sz val="11"/>
        <color theme="1"/>
        <rFont val="Tahoma"/>
        <family val="2"/>
      </rPr>
      <t>Coil</t>
    </r>
  </si>
  <si>
    <t>MISCELLANEOUS</t>
  </si>
  <si>
    <t>TMR</t>
  </si>
  <si>
    <t>TRL07</t>
  </si>
  <si>
    <t>Eaton Multi-Function DIN Mount Timing Relay, Universal Voltage, SPDT</t>
  </si>
  <si>
    <t>SCT-10 &amp; ENCLOSURE</t>
  </si>
  <si>
    <t>ENC</t>
  </si>
  <si>
    <t>AH864C</t>
  </si>
  <si>
    <t>Attabox 8X6X4 Heartland Series w/ Clear Cover</t>
  </si>
  <si>
    <t>BP86A</t>
  </si>
  <si>
    <t>Aluminum Back Plate for 8x6 Attabox</t>
  </si>
  <si>
    <t>ZK2.5-4P-BL</t>
  </si>
  <si>
    <t>12 AWG Blue 4pt Terminal Block 20A</t>
  </si>
  <si>
    <t>ZK2.5-PE-4P</t>
  </si>
  <si>
    <t>12 AWG GND 4pt Terminal Block 20A (Green/Yellow)</t>
  </si>
  <si>
    <t>SCT</t>
  </si>
  <si>
    <t xml:space="preserve">12-24VDC, Analog Output, and RS-485/232 Serial Port, DIN Mount	</t>
  </si>
  <si>
    <t>PNEUMATIC SOLENOID</t>
  </si>
  <si>
    <t>PNU</t>
  </si>
  <si>
    <t>Malt Handling - Prison City SSMS-LC</t>
  </si>
  <si>
    <t>CA23604801MSMH-02</t>
  </si>
  <si>
    <t>CSD161610</t>
  </si>
  <si>
    <r>
      <rPr>
        <b/>
        <sz val="11"/>
        <color theme="1"/>
        <rFont val="Tahoma"/>
        <family val="2"/>
      </rPr>
      <t>16Hx16Wx10D</t>
    </r>
    <r>
      <rPr>
        <sz val="11"/>
        <color theme="1"/>
        <rFont val="Tahoma"/>
        <family val="2"/>
      </rPr>
      <t xml:space="preserve"> Grey Type 4 Enclosure</t>
    </r>
  </si>
  <si>
    <t>PAN</t>
  </si>
  <si>
    <t>CP1616G</t>
  </si>
  <si>
    <r>
      <t xml:space="preserve">Galvanized Subpanel for </t>
    </r>
    <r>
      <rPr>
        <b/>
        <sz val="11"/>
        <color theme="1"/>
        <rFont val="Tahoma"/>
        <family val="2"/>
      </rPr>
      <t xml:space="preserve">16x16 </t>
    </r>
    <r>
      <rPr>
        <sz val="11"/>
        <color theme="1"/>
        <rFont val="Tahoma"/>
        <family val="2"/>
      </rPr>
      <t>Enclosure</t>
    </r>
  </si>
  <si>
    <t>XTPR004BC1</t>
  </si>
  <si>
    <r>
      <t xml:space="preserve">EATON - MMP - Short Circuit/Phase/OL </t>
    </r>
    <r>
      <rPr>
        <b/>
        <sz val="11"/>
        <color theme="1"/>
        <rFont val="Tahoma"/>
        <family val="2"/>
      </rPr>
      <t>2.5-4.0A</t>
    </r>
  </si>
  <si>
    <t>800FP-LSR23PN3GX10</t>
  </si>
  <si>
    <r>
      <rPr>
        <b/>
        <sz val="11"/>
        <color theme="1"/>
        <rFont val="Tahoma"/>
        <family val="2"/>
      </rPr>
      <t>2POS</t>
    </r>
    <r>
      <rPr>
        <sz val="11"/>
        <color theme="1"/>
        <rFont val="Tahoma"/>
        <family val="2"/>
      </rPr>
      <t xml:space="preserve"> </t>
    </r>
    <r>
      <rPr>
        <b/>
        <sz val="11"/>
        <color theme="1"/>
        <rFont val="Tahoma"/>
        <family val="2"/>
      </rPr>
      <t>Momentary</t>
    </r>
    <r>
      <rPr>
        <sz val="11"/>
        <color theme="1"/>
        <rFont val="Tahoma"/>
        <family val="2"/>
      </rPr>
      <t xml:space="preserve"> Switch (Spring Ret from Rt) </t>
    </r>
    <r>
      <rPr>
        <b/>
        <sz val="11"/>
        <color theme="1"/>
        <rFont val="Tahoma"/>
        <family val="2"/>
      </rPr>
      <t>Green</t>
    </r>
    <r>
      <rPr>
        <sz val="11"/>
        <color theme="1"/>
        <rFont val="Tahoma"/>
        <family val="2"/>
      </rPr>
      <t xml:space="preserve"> </t>
    </r>
    <r>
      <rPr>
        <b/>
        <sz val="11"/>
        <color theme="1"/>
        <rFont val="Tahoma"/>
        <family val="2"/>
      </rPr>
      <t>24V</t>
    </r>
    <r>
      <rPr>
        <sz val="11"/>
        <color theme="1"/>
        <rFont val="Tahoma"/>
        <family val="2"/>
      </rPr>
      <t xml:space="preserve"> LED</t>
    </r>
  </si>
  <si>
    <t>FCI</t>
  </si>
  <si>
    <t>6V210J3/8B200</t>
  </si>
  <si>
    <r>
      <t xml:space="preserve">5/3 Valve </t>
    </r>
    <r>
      <rPr>
        <b/>
        <sz val="11"/>
        <color theme="1"/>
        <rFont val="Tahoma"/>
        <family val="2"/>
      </rPr>
      <t>24VDC Coil</t>
    </r>
    <r>
      <rPr>
        <sz val="11"/>
        <color theme="1"/>
        <rFont val="Tahoma"/>
        <family val="2"/>
      </rPr>
      <t xml:space="preserve"> 3/8" PTC (3/8" OD Tubing)</t>
    </r>
  </si>
  <si>
    <t>PC3/8-N2U</t>
  </si>
  <si>
    <t>PTC-CONN 3/8" Tube x 1/4 MNPT (Manifold Supply Connection)</t>
  </si>
  <si>
    <t>6V200M1FT</t>
  </si>
  <si>
    <t>1/4"NPT 1 Station Valve Subplate for 3/8" PTC</t>
  </si>
  <si>
    <t>2222-4S</t>
  </si>
  <si>
    <t>C3169X4/ 04</t>
  </si>
  <si>
    <t>Hollow Hex Pipe Plug (Need Three)</t>
  </si>
  <si>
    <t>BM-28</t>
  </si>
  <si>
    <t>Muffler 1/4" MNPT-Bronze (Need Two)</t>
  </si>
  <si>
    <t>XXX</t>
  </si>
  <si>
    <t>WMS</t>
  </si>
  <si>
    <t>TLS</t>
  </si>
  <si>
    <t>TLS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</si>
</sst>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6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8" borderId="9" applyNumberFormat="0" applyAlignment="0" applyProtection="0"/>
    <xf numFmtId="0" fontId="3" fillId="0" borderId="0" applyNumberFormat="0" applyFill="0" applyBorder="0" applyAlignment="0" applyProtection="0"/>
    <xf numFmtId="0" fontId="5" fillId="9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9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9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9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9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9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21" borderId="0" applyNumberFormat="0" applyBorder="0" applyAlignment="0" applyProtection="0"/>
    <xf numFmtId="0" fontId="5" fillId="25" borderId="0" applyNumberFormat="0" applyBorder="0" applyAlignment="0" applyProtection="0"/>
    <xf numFmtId="0" fontId="5" fillId="29" borderId="0" applyNumberFormat="0" applyBorder="0" applyAlignment="0" applyProtection="0"/>
    <xf numFmtId="0" fontId="5" fillId="33" borderId="0" applyNumberFormat="0" applyBorder="0" applyAlignment="0" applyProtection="0"/>
    <xf numFmtId="0" fontId="23" fillId="0" borderId="0"/>
    <xf numFmtId="0" fontId="5" fillId="0" borderId="0"/>
    <xf numFmtId="0" fontId="5" fillId="9" borderId="10" applyNumberFormat="0" applyFont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9" borderId="10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9" borderId="10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44" fontId="5" fillId="0" borderId="0" applyFont="0" applyFill="0" applyBorder="0" applyAlignment="0" applyProtection="0"/>
    <xf numFmtId="0" fontId="23" fillId="0" borderId="0"/>
    <xf numFmtId="0" fontId="23" fillId="0" borderId="0"/>
  </cellStyleXfs>
  <cellXfs count="5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1" fillId="0" borderId="0" xfId="51" applyNumberFormat="1" applyFont="1" applyBorder="1" applyAlignment="1">
      <alignment horizontal="center"/>
    </xf>
    <xf numFmtId="4" fontId="1" fillId="2" borderId="1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24" fillId="0" borderId="0" xfId="0" applyFont="1" applyBorder="1"/>
    <xf numFmtId="164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/>
    <xf numFmtId="4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51" applyNumberFormat="1" applyFont="1" applyFill="1" applyBorder="1" applyAlignment="1">
      <alignment horizontal="center" vertical="center"/>
    </xf>
    <xf numFmtId="0" fontId="1" fillId="0" borderId="0" xfId="0" applyFont="1"/>
    <xf numFmtId="164" fontId="1" fillId="0" borderId="0" xfId="51" applyNumberFormat="1" applyFont="1" applyBorder="1" applyAlignment="1">
      <alignment horizontal="center" vertical="center"/>
    </xf>
  </cellXfs>
  <cellStyles count="96">
    <cellStyle name="20% - Accent1" xfId="17" builtinId="30" customBuiltin="1"/>
    <cellStyle name="20% - Accent1 2" xfId="66" xr:uid="{6B819CE8-3D53-416A-BA64-E8D73C2B506E}"/>
    <cellStyle name="20% - Accent1 3" xfId="81" xr:uid="{381AAD6D-E3F7-4C29-BE00-FC1FDCE0F00A}"/>
    <cellStyle name="20% - Accent2" xfId="20" builtinId="34" customBuiltin="1"/>
    <cellStyle name="20% - Accent2 2" xfId="68" xr:uid="{1A322338-DAAE-4174-8DCE-93EB42A0BC77}"/>
    <cellStyle name="20% - Accent2 3" xfId="83" xr:uid="{02576665-E0C6-4F96-8A5F-2EE70F89F7F9}"/>
    <cellStyle name="20% - Accent3" xfId="23" builtinId="38" customBuiltin="1"/>
    <cellStyle name="20% - Accent3 2" xfId="70" xr:uid="{F80FAF6D-60FD-4C5E-8641-D6A51EE3D6A9}"/>
    <cellStyle name="20% - Accent3 3" xfId="85" xr:uid="{9E48E786-A7FF-44FF-8E44-33050FEB3E0F}"/>
    <cellStyle name="20% - Accent4" xfId="26" builtinId="42" customBuiltin="1"/>
    <cellStyle name="20% - Accent4 2" xfId="72" xr:uid="{1509905A-ACEF-4B7A-9662-2CB889F572F1}"/>
    <cellStyle name="20% - Accent4 3" xfId="87" xr:uid="{E3E78970-5162-48F2-A78F-78BFC3F29E62}"/>
    <cellStyle name="20% - Accent5" xfId="29" builtinId="46" customBuiltin="1"/>
    <cellStyle name="20% - Accent5 2" xfId="74" xr:uid="{ED970DE1-FBFD-46B1-A9B8-59E4BCB06316}"/>
    <cellStyle name="20% - Accent5 3" xfId="89" xr:uid="{FB279873-9B8B-4DD7-84D6-551884B3D478}"/>
    <cellStyle name="20% - Accent6" xfId="32" builtinId="50" customBuiltin="1"/>
    <cellStyle name="20% - Accent6 2" xfId="76" xr:uid="{2A99AE11-8060-4EAC-87AB-DD2499FA16C4}"/>
    <cellStyle name="20% - Accent6 3" xfId="91" xr:uid="{639E2DE7-FA9C-4BD6-B300-D25AF27C73C6}"/>
    <cellStyle name="40% - Accent1" xfId="18" builtinId="31" customBuiltin="1"/>
    <cellStyle name="40% - Accent1 2" xfId="67" xr:uid="{A0B17076-C6E7-490D-B49C-3204B11250EE}"/>
    <cellStyle name="40% - Accent1 3" xfId="82" xr:uid="{86CD721E-9053-4693-8975-47D280BCFD92}"/>
    <cellStyle name="40% - Accent2" xfId="21" builtinId="35" customBuiltin="1"/>
    <cellStyle name="40% - Accent2 2" xfId="69" xr:uid="{2FE51C3C-A836-4CE7-8CCC-0F015EE119F6}"/>
    <cellStyle name="40% - Accent2 3" xfId="84" xr:uid="{FB910D64-ED73-4ECF-BC55-B4B5F40711E7}"/>
    <cellStyle name="40% - Accent3" xfId="24" builtinId="39" customBuiltin="1"/>
    <cellStyle name="40% - Accent3 2" xfId="71" xr:uid="{4F51EBB3-ADC7-49C9-8944-F247A0F30BF2}"/>
    <cellStyle name="40% - Accent3 3" xfId="86" xr:uid="{A35EF6A9-786D-46DD-A23F-807349EF8336}"/>
    <cellStyle name="40% - Accent4" xfId="27" builtinId="43" customBuiltin="1"/>
    <cellStyle name="40% - Accent4 2" xfId="73" xr:uid="{115CF642-395A-4FC3-BEFD-3B88BAD7F8A4}"/>
    <cellStyle name="40% - Accent4 3" xfId="88" xr:uid="{461DD161-5BBF-4713-B893-0783A11F559B}"/>
    <cellStyle name="40% - Accent5" xfId="30" builtinId="47" customBuiltin="1"/>
    <cellStyle name="40% - Accent5 2" xfId="75" xr:uid="{A2BD016F-F1AC-46E1-B61E-D4C65FE03D01}"/>
    <cellStyle name="40% - Accent5 3" xfId="90" xr:uid="{4624FB30-6567-4826-8A50-6B5F01D96225}"/>
    <cellStyle name="40% - Accent6" xfId="33" builtinId="51" customBuiltin="1"/>
    <cellStyle name="40% - Accent6 2" xfId="77" xr:uid="{D2A7C7F8-D4F9-41F8-99EA-929F77A82077}"/>
    <cellStyle name="40% - Accent6 3" xfId="92" xr:uid="{28EE70E7-9F6F-43F8-B194-D9B3C1F1B383}"/>
    <cellStyle name="60% - Accent1" xfId="54" builtinId="32" customBuiltin="1"/>
    <cellStyle name="60% - Accent1 2" xfId="45" xr:uid="{00000000-0005-0000-0000-00002F000000}"/>
    <cellStyle name="60% - Accent1 3" xfId="36" xr:uid="{00000000-0005-0000-0000-00002F000000}"/>
    <cellStyle name="60% - Accent2" xfId="55" builtinId="36" customBuiltin="1"/>
    <cellStyle name="60% - Accent2 2" xfId="46" xr:uid="{00000000-0005-0000-0000-000030000000}"/>
    <cellStyle name="60% - Accent2 3" xfId="37" xr:uid="{00000000-0005-0000-0000-000031000000}"/>
    <cellStyle name="60% - Accent3" xfId="56" builtinId="40" customBuiltin="1"/>
    <cellStyle name="60% - Accent3 2" xfId="47" xr:uid="{00000000-0005-0000-0000-000031000000}"/>
    <cellStyle name="60% - Accent3 3" xfId="38" xr:uid="{00000000-0005-0000-0000-000033000000}"/>
    <cellStyle name="60% - Accent4" xfId="57" builtinId="44" customBuiltin="1"/>
    <cellStyle name="60% - Accent4 2" xfId="48" xr:uid="{00000000-0005-0000-0000-000032000000}"/>
    <cellStyle name="60% - Accent4 3" xfId="39" xr:uid="{00000000-0005-0000-0000-000035000000}"/>
    <cellStyle name="60% - Accent5" xfId="58" builtinId="48" customBuiltin="1"/>
    <cellStyle name="60% - Accent5 2" xfId="49" xr:uid="{00000000-0005-0000-0000-000033000000}"/>
    <cellStyle name="60% - Accent5 3" xfId="40" xr:uid="{00000000-0005-0000-0000-000037000000}"/>
    <cellStyle name="60% - Accent6" xfId="59" builtinId="52" customBuiltin="1"/>
    <cellStyle name="60% - Accent6 2" xfId="50" xr:uid="{00000000-0005-0000-0000-000034000000}"/>
    <cellStyle name="60% - Accent6 3" xfId="41" xr:uid="{00000000-0005-0000-0000-000039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urrency" xfId="51" builtinId="4"/>
    <cellStyle name="Currency 2" xfId="63" xr:uid="{7FF608CE-4C98-449D-8FBE-A6D6BC0B7FF6}"/>
    <cellStyle name="Currency 3" xfId="78" xr:uid="{FCDFB694-008A-4A10-9A0F-A0C110B69B2E}"/>
    <cellStyle name="Currency 4" xfId="93" xr:uid="{785AA719-C2A9-43D9-B2D6-CA40163E3A49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" xfId="53" builtinId="28" customBuiltin="1"/>
    <cellStyle name="Neutral 2" xfId="44" xr:uid="{00000000-0005-0000-0000-000036000000}"/>
    <cellStyle name="Neutral 3" xfId="35" xr:uid="{00000000-0005-0000-0000-00003C000000}"/>
    <cellStyle name="Normal" xfId="0" builtinId="0"/>
    <cellStyle name="Normal 2" xfId="61" xr:uid="{1A69022C-D831-4F31-A844-69893D12C207}"/>
    <cellStyle name="Normal 3" xfId="64" xr:uid="{66E38A5A-FA3A-4C6F-BFD3-A1AC1CA11B11}"/>
    <cellStyle name="Normal 4" xfId="79" xr:uid="{7FC9B9EE-2F82-497E-B02E-0D022F1CEC88}"/>
    <cellStyle name="Normal 5" xfId="60" xr:uid="{AB11929D-0266-450F-B0FC-A09721132E1B}"/>
    <cellStyle name="Normal 6" xfId="94" xr:uid="{482D4441-55C8-4F5A-B5DD-1E59A9D8E657}"/>
    <cellStyle name="Normal 6 2" xfId="95" xr:uid="{B1519FB1-8DD3-4271-BF74-87431E71910A}"/>
    <cellStyle name="Note" xfId="13" builtinId="10" customBuiltin="1"/>
    <cellStyle name="Note 2" xfId="62" xr:uid="{4DDF7BF0-17D5-4E45-9897-E747CA807F62}"/>
    <cellStyle name="Note 3" xfId="65" xr:uid="{BA6D847B-A1A4-4033-BCA5-2E5ACF5DD56F}"/>
    <cellStyle name="Note 4" xfId="80" xr:uid="{3311F395-1595-4B75-8254-DDE7AB81CF70}"/>
    <cellStyle name="Output" xfId="8" builtinId="21" customBuiltin="1"/>
    <cellStyle name="Title" xfId="52" builtinId="15" customBuiltin="1"/>
    <cellStyle name="Title 2" xfId="42" xr:uid="{00000000-0005-0000-0000-000031000000}"/>
    <cellStyle name="Title 3" xfId="43" xr:uid="{00000000-0005-0000-0000-000037000000}"/>
    <cellStyle name="Title 4" xfId="34" xr:uid="{00000000-0005-0000-0000-00003E000000}"/>
    <cellStyle name="Total" xfId="15" builtinId="25" customBuiltin="1"/>
    <cellStyle name="Warning Text" xfId="12" builtinId="11" customBuiltin="1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J50"/>
  <sheetViews>
    <sheetView tabSelected="1" zoomScale="85" zoomScaleNormal="85" workbookViewId="0">
      <selection activeCell="I50" sqref="I50"/>
    </sheetView>
  </sheetViews>
  <sheetFormatPr defaultColWidth="9.109375" defaultRowHeight="13.8" x14ac:dyDescent="0.25"/>
  <cols>
    <col min="1" max="1" width="6.5546875" style="1" customWidth="1"/>
    <col min="2" max="2" width="8.44140625" style="7" customWidth="1"/>
    <col min="3" max="3" width="5.5546875" style="3" customWidth="1"/>
    <col min="4" max="4" width="19.77734375" style="3" customWidth="1"/>
    <col min="5" max="5" width="26.5546875" style="1" customWidth="1"/>
    <col min="6" max="6" width="50.21875" style="1" customWidth="1"/>
    <col min="7" max="7" width="12.44140625" style="11" customWidth="1"/>
    <col min="8" max="8" width="4.33203125" style="3" customWidth="1"/>
    <col min="9" max="9" width="10.33203125" style="9" customWidth="1"/>
    <col min="10" max="16384" width="9.109375" style="1"/>
  </cols>
  <sheetData>
    <row r="3" spans="1:10" x14ac:dyDescent="0.25">
      <c r="A3" s="2" t="s">
        <v>1</v>
      </c>
      <c r="C3" s="6" t="s">
        <v>0</v>
      </c>
      <c r="D3" s="6"/>
    </row>
    <row r="4" spans="1:10" ht="6" customHeight="1" x14ac:dyDescent="0.25">
      <c r="A4" s="2"/>
    </row>
    <row r="5" spans="1:10" x14ac:dyDescent="0.25">
      <c r="A5" s="1" t="s">
        <v>2</v>
      </c>
      <c r="C5" s="1" t="s">
        <v>69</v>
      </c>
      <c r="D5" s="1"/>
    </row>
    <row r="6" spans="1:10" ht="6" customHeight="1" x14ac:dyDescent="0.25"/>
    <row r="7" spans="1:10" x14ac:dyDescent="0.25">
      <c r="A7" s="1" t="s">
        <v>3</v>
      </c>
      <c r="B7" s="6"/>
      <c r="C7" s="15" t="s">
        <v>70</v>
      </c>
      <c r="D7" s="15"/>
    </row>
    <row r="8" spans="1:10" ht="6" customHeight="1" x14ac:dyDescent="0.25"/>
    <row r="10" spans="1:10" ht="15" customHeight="1" x14ac:dyDescent="0.25">
      <c r="A10" s="4" t="s">
        <v>4</v>
      </c>
      <c r="B10" s="8" t="s">
        <v>9</v>
      </c>
      <c r="C10" s="14"/>
      <c r="D10" s="14"/>
      <c r="E10" s="4" t="s">
        <v>17</v>
      </c>
      <c r="F10" s="4" t="s">
        <v>5</v>
      </c>
      <c r="G10" s="12" t="s">
        <v>7</v>
      </c>
      <c r="H10" s="4" t="s">
        <v>6</v>
      </c>
      <c r="I10" s="10" t="s">
        <v>8</v>
      </c>
    </row>
    <row r="11" spans="1:10" ht="15" customHeight="1" x14ac:dyDescent="0.25">
      <c r="A11" s="5">
        <v>0</v>
      </c>
      <c r="C11" s="16"/>
      <c r="D11" s="16"/>
      <c r="E11" s="19" t="s">
        <v>38</v>
      </c>
      <c r="F11" s="5"/>
      <c r="G11" s="17"/>
      <c r="H11" s="5"/>
      <c r="I11" s="18"/>
    </row>
    <row r="12" spans="1:10" x14ac:dyDescent="0.25">
      <c r="A12" s="5">
        <v>10</v>
      </c>
      <c r="B12" s="23" t="s">
        <v>13</v>
      </c>
      <c r="C12" s="23" t="s">
        <v>56</v>
      </c>
      <c r="D12" s="23">
        <v>2027548</v>
      </c>
      <c r="E12" s="24" t="s">
        <v>71</v>
      </c>
      <c r="F12" s="24" t="s">
        <v>72</v>
      </c>
      <c r="G12" s="50">
        <v>182.6</v>
      </c>
      <c r="H12" s="22">
        <v>1</v>
      </c>
      <c r="I12" s="36">
        <f t="shared" ref="I12:I13" si="0">H12*G12</f>
        <v>182.6</v>
      </c>
      <c r="J12" s="1" t="s">
        <v>92</v>
      </c>
    </row>
    <row r="13" spans="1:10" x14ac:dyDescent="0.25">
      <c r="A13" s="5">
        <v>20</v>
      </c>
      <c r="B13" s="23" t="s">
        <v>13</v>
      </c>
      <c r="C13" s="23" t="s">
        <v>73</v>
      </c>
      <c r="D13" s="23">
        <v>2065039</v>
      </c>
      <c r="E13" s="24" t="s">
        <v>74</v>
      </c>
      <c r="F13" s="24" t="s">
        <v>75</v>
      </c>
      <c r="G13" s="50">
        <v>24.178000000000001</v>
      </c>
      <c r="H13" s="22">
        <v>1</v>
      </c>
      <c r="I13" s="36">
        <f t="shared" si="0"/>
        <v>24.178000000000001</v>
      </c>
      <c r="J13" s="49" t="s">
        <v>92</v>
      </c>
    </row>
    <row r="14" spans="1:10" x14ac:dyDescent="0.25">
      <c r="A14" s="5">
        <v>30</v>
      </c>
      <c r="B14" s="35"/>
      <c r="C14" s="22"/>
      <c r="D14" s="22"/>
      <c r="E14" s="25"/>
      <c r="F14" s="25"/>
      <c r="G14" s="26"/>
      <c r="H14" s="22"/>
    </row>
    <row r="15" spans="1:10" x14ac:dyDescent="0.25">
      <c r="A15" s="5">
        <v>40</v>
      </c>
      <c r="B15" s="34"/>
      <c r="C15" s="22"/>
      <c r="D15" s="22"/>
      <c r="E15" s="27" t="s">
        <v>39</v>
      </c>
      <c r="F15" s="25"/>
      <c r="G15" s="26"/>
      <c r="H15" s="22"/>
    </row>
    <row r="16" spans="1:10" x14ac:dyDescent="0.25">
      <c r="A16" s="5">
        <v>50</v>
      </c>
      <c r="B16" s="23" t="s">
        <v>31</v>
      </c>
      <c r="C16" s="23" t="s">
        <v>40</v>
      </c>
      <c r="D16" s="23">
        <v>3552281</v>
      </c>
      <c r="E16" s="24" t="s">
        <v>41</v>
      </c>
      <c r="F16" s="24" t="s">
        <v>42</v>
      </c>
      <c r="G16" s="50">
        <v>30</v>
      </c>
      <c r="H16" s="22">
        <v>1</v>
      </c>
      <c r="I16" s="9">
        <f t="shared" ref="I16:I42" si="1">H16*G16</f>
        <v>30</v>
      </c>
      <c r="J16" s="1" t="s">
        <v>92</v>
      </c>
    </row>
    <row r="17" spans="1:10" x14ac:dyDescent="0.25">
      <c r="A17" s="5">
        <v>60</v>
      </c>
      <c r="B17" s="22" t="s">
        <v>31</v>
      </c>
      <c r="C17" s="22" t="s">
        <v>37</v>
      </c>
      <c r="D17" s="22">
        <v>2273200</v>
      </c>
      <c r="E17" s="28" t="s">
        <v>76</v>
      </c>
      <c r="F17" s="28" t="s">
        <v>77</v>
      </c>
      <c r="G17" s="26">
        <v>41.28</v>
      </c>
      <c r="H17" s="22">
        <v>1</v>
      </c>
      <c r="I17" s="9">
        <f t="shared" si="1"/>
        <v>41.28</v>
      </c>
      <c r="J17" s="47" t="s">
        <v>92</v>
      </c>
    </row>
    <row r="18" spans="1:10" ht="14.4" customHeight="1" x14ac:dyDescent="0.25">
      <c r="A18" s="5">
        <v>70</v>
      </c>
      <c r="B18" s="22" t="s">
        <v>31</v>
      </c>
      <c r="C18" s="22" t="s">
        <v>37</v>
      </c>
      <c r="D18" s="22">
        <v>2271754</v>
      </c>
      <c r="E18" s="28" t="s">
        <v>45</v>
      </c>
      <c r="F18" s="28" t="s">
        <v>46</v>
      </c>
      <c r="G18" s="26">
        <v>6.84</v>
      </c>
      <c r="H18" s="22">
        <v>1</v>
      </c>
      <c r="I18" s="9">
        <f t="shared" si="1"/>
        <v>6.84</v>
      </c>
      <c r="J18" s="47" t="s">
        <v>92</v>
      </c>
    </row>
    <row r="19" spans="1:10" ht="14.4" customHeight="1" x14ac:dyDescent="0.25">
      <c r="A19" s="5">
        <v>80</v>
      </c>
      <c r="B19" s="22" t="s">
        <v>31</v>
      </c>
      <c r="C19" s="22" t="s">
        <v>37</v>
      </c>
      <c r="D19" s="22">
        <v>3612410</v>
      </c>
      <c r="E19" s="28" t="s">
        <v>47</v>
      </c>
      <c r="F19" s="28" t="s">
        <v>48</v>
      </c>
      <c r="G19" s="26">
        <v>7.68</v>
      </c>
      <c r="H19" s="22">
        <v>1</v>
      </c>
      <c r="I19" s="9">
        <f t="shared" si="1"/>
        <v>7.68</v>
      </c>
      <c r="J19" s="47" t="s">
        <v>92</v>
      </c>
    </row>
    <row r="20" spans="1:10" ht="14.4" customHeight="1" x14ac:dyDescent="0.25">
      <c r="A20" s="5">
        <v>90</v>
      </c>
      <c r="B20" s="22" t="s">
        <v>31</v>
      </c>
      <c r="C20" s="22" t="s">
        <v>18</v>
      </c>
      <c r="D20" s="22">
        <v>2289559</v>
      </c>
      <c r="E20" s="28" t="s">
        <v>49</v>
      </c>
      <c r="F20" s="28" t="s">
        <v>50</v>
      </c>
      <c r="G20" s="26">
        <v>29.83</v>
      </c>
      <c r="H20" s="22">
        <v>1</v>
      </c>
      <c r="I20" s="9">
        <f t="shared" si="1"/>
        <v>29.83</v>
      </c>
      <c r="J20" s="47" t="s">
        <v>92</v>
      </c>
    </row>
    <row r="21" spans="1:10" x14ac:dyDescent="0.25">
      <c r="A21" s="5">
        <v>100</v>
      </c>
      <c r="B21" s="23" t="s">
        <v>13</v>
      </c>
      <c r="C21" s="23" t="s">
        <v>10</v>
      </c>
      <c r="D21" s="23">
        <v>3605198</v>
      </c>
      <c r="E21" s="24" t="s">
        <v>43</v>
      </c>
      <c r="F21" s="24" t="s">
        <v>44</v>
      </c>
      <c r="G21" s="48">
        <v>42.052999999999997</v>
      </c>
      <c r="H21" s="22">
        <v>2</v>
      </c>
      <c r="I21" s="9">
        <f t="shared" si="1"/>
        <v>84.105999999999995</v>
      </c>
      <c r="J21" s="49" t="s">
        <v>92</v>
      </c>
    </row>
    <row r="22" spans="1:10" s="37" customFormat="1" x14ac:dyDescent="0.25">
      <c r="A22" s="39">
        <v>110</v>
      </c>
      <c r="B22" s="23" t="s">
        <v>13</v>
      </c>
      <c r="C22" s="23" t="s">
        <v>10</v>
      </c>
      <c r="D22" s="23">
        <v>4160053</v>
      </c>
      <c r="E22" s="24" t="s">
        <v>78</v>
      </c>
      <c r="F22" s="24" t="s">
        <v>79</v>
      </c>
      <c r="G22" s="48">
        <v>35.232999999999997</v>
      </c>
      <c r="H22" s="22">
        <v>1</v>
      </c>
      <c r="I22" s="38">
        <f t="shared" si="1"/>
        <v>35.232999999999997</v>
      </c>
      <c r="J22" s="49" t="s">
        <v>92</v>
      </c>
    </row>
    <row r="23" spans="1:10" x14ac:dyDescent="0.25">
      <c r="A23" s="39">
        <v>120</v>
      </c>
      <c r="B23" s="23" t="s">
        <v>31</v>
      </c>
      <c r="C23" s="23" t="s">
        <v>52</v>
      </c>
      <c r="D23" s="23">
        <v>2711865</v>
      </c>
      <c r="E23" s="24" t="s">
        <v>53</v>
      </c>
      <c r="F23" s="24" t="s">
        <v>54</v>
      </c>
      <c r="G23" s="50">
        <v>28</v>
      </c>
      <c r="H23" s="22">
        <v>1</v>
      </c>
      <c r="I23" s="9">
        <f t="shared" si="1"/>
        <v>28</v>
      </c>
      <c r="J23" s="47" t="s">
        <v>92</v>
      </c>
    </row>
    <row r="24" spans="1:10" x14ac:dyDescent="0.25">
      <c r="A24" s="45">
        <v>130</v>
      </c>
      <c r="B24" s="23"/>
      <c r="C24" s="23"/>
      <c r="D24" s="23"/>
      <c r="E24" s="24"/>
      <c r="F24" s="24"/>
      <c r="G24" s="50"/>
      <c r="H24" s="22"/>
    </row>
    <row r="25" spans="1:10" x14ac:dyDescent="0.25">
      <c r="A25" s="45">
        <v>140</v>
      </c>
      <c r="B25" s="23"/>
      <c r="C25" s="23"/>
      <c r="D25" s="23"/>
      <c r="E25" s="29" t="s">
        <v>55</v>
      </c>
      <c r="F25" s="24"/>
      <c r="G25" s="50"/>
      <c r="H25" s="22"/>
    </row>
    <row r="26" spans="1:10" x14ac:dyDescent="0.25">
      <c r="A26" s="45">
        <v>150</v>
      </c>
      <c r="B26" s="23" t="s">
        <v>31</v>
      </c>
      <c r="C26" s="23" t="s">
        <v>56</v>
      </c>
      <c r="D26" s="23">
        <v>2734392</v>
      </c>
      <c r="E26" s="24" t="s">
        <v>57</v>
      </c>
      <c r="F26" s="24" t="s">
        <v>58</v>
      </c>
      <c r="G26" s="50">
        <v>66</v>
      </c>
      <c r="H26" s="22">
        <v>1</v>
      </c>
      <c r="I26" s="9">
        <f t="shared" si="1"/>
        <v>66</v>
      </c>
      <c r="J26" s="47" t="s">
        <v>92</v>
      </c>
    </row>
    <row r="27" spans="1:10" x14ac:dyDescent="0.25">
      <c r="A27" s="45">
        <v>160</v>
      </c>
      <c r="B27" s="23" t="s">
        <v>31</v>
      </c>
      <c r="C27" s="23" t="s">
        <v>56</v>
      </c>
      <c r="D27" s="23">
        <v>3251124</v>
      </c>
      <c r="E27" s="24" t="s">
        <v>59</v>
      </c>
      <c r="F27" s="24" t="s">
        <v>60</v>
      </c>
      <c r="G27" s="50">
        <v>10</v>
      </c>
      <c r="H27" s="22">
        <v>1</v>
      </c>
      <c r="I27" s="9">
        <f t="shared" si="1"/>
        <v>10</v>
      </c>
      <c r="J27" s="47" t="s">
        <v>92</v>
      </c>
    </row>
    <row r="28" spans="1:10" x14ac:dyDescent="0.25">
      <c r="A28" s="45">
        <v>170</v>
      </c>
      <c r="B28" s="23" t="s">
        <v>93</v>
      </c>
      <c r="C28" s="23" t="s">
        <v>65</v>
      </c>
      <c r="D28" s="23" t="s">
        <v>94</v>
      </c>
      <c r="E28" s="24" t="s">
        <v>95</v>
      </c>
      <c r="F28" s="24" t="s">
        <v>66</v>
      </c>
      <c r="G28" s="50">
        <v>265</v>
      </c>
      <c r="H28" s="22">
        <v>1</v>
      </c>
      <c r="I28" s="9">
        <f t="shared" si="1"/>
        <v>265</v>
      </c>
      <c r="J28" s="1" t="s">
        <v>92</v>
      </c>
    </row>
    <row r="29" spans="1:10" x14ac:dyDescent="0.25">
      <c r="A29" s="45">
        <v>180</v>
      </c>
      <c r="B29" s="23"/>
      <c r="C29" s="23"/>
      <c r="D29" s="23"/>
      <c r="E29" s="24"/>
      <c r="F29" s="24"/>
      <c r="G29" s="50"/>
      <c r="H29" s="22"/>
      <c r="I29" s="42"/>
    </row>
    <row r="30" spans="1:10" x14ac:dyDescent="0.25">
      <c r="A30" s="45">
        <v>190</v>
      </c>
      <c r="B30" s="23"/>
      <c r="C30" s="23"/>
      <c r="D30" s="23"/>
      <c r="E30" s="29" t="s">
        <v>67</v>
      </c>
      <c r="F30" s="24"/>
      <c r="G30" s="50"/>
      <c r="H30" s="22"/>
      <c r="I30" s="42"/>
    </row>
    <row r="31" spans="1:10" x14ac:dyDescent="0.25">
      <c r="A31" s="45">
        <v>200</v>
      </c>
      <c r="B31" s="23" t="s">
        <v>80</v>
      </c>
      <c r="C31" s="23" t="s">
        <v>68</v>
      </c>
      <c r="D31" s="23" t="s">
        <v>81</v>
      </c>
      <c r="E31" s="24" t="s">
        <v>81</v>
      </c>
      <c r="F31" s="24" t="s">
        <v>82</v>
      </c>
      <c r="G31" s="31">
        <v>15.56</v>
      </c>
      <c r="H31" s="23">
        <v>1</v>
      </c>
      <c r="I31" s="42">
        <f t="shared" si="1"/>
        <v>15.56</v>
      </c>
      <c r="J31" s="1" t="s">
        <v>92</v>
      </c>
    </row>
    <row r="32" spans="1:10" s="40" customFormat="1" x14ac:dyDescent="0.25">
      <c r="A32" s="45">
        <v>210</v>
      </c>
      <c r="B32" s="23" t="s">
        <v>80</v>
      </c>
      <c r="C32" s="23" t="s">
        <v>68</v>
      </c>
      <c r="D32" s="23" t="s">
        <v>83</v>
      </c>
      <c r="E32" s="24" t="s">
        <v>83</v>
      </c>
      <c r="F32" s="24" t="s">
        <v>84</v>
      </c>
      <c r="G32" s="31">
        <v>1.4</v>
      </c>
      <c r="H32" s="22">
        <v>1</v>
      </c>
      <c r="I32" s="43">
        <f t="shared" si="1"/>
        <v>1.4</v>
      </c>
      <c r="J32" s="49" t="s">
        <v>92</v>
      </c>
    </row>
    <row r="33" spans="1:10" s="40" customFormat="1" x14ac:dyDescent="0.25">
      <c r="A33" s="45">
        <v>220</v>
      </c>
      <c r="B33" s="23" t="s">
        <v>80</v>
      </c>
      <c r="C33" s="23" t="s">
        <v>68</v>
      </c>
      <c r="D33" s="23" t="s">
        <v>85</v>
      </c>
      <c r="E33" s="24" t="s">
        <v>85</v>
      </c>
      <c r="F33" s="24" t="s">
        <v>86</v>
      </c>
      <c r="G33" s="31">
        <v>4.0999999999999996</v>
      </c>
      <c r="H33" s="22">
        <v>1</v>
      </c>
      <c r="I33" s="46">
        <f t="shared" si="1"/>
        <v>4.0999999999999996</v>
      </c>
      <c r="J33" s="49" t="s">
        <v>92</v>
      </c>
    </row>
    <row r="34" spans="1:10" s="44" customFormat="1" x14ac:dyDescent="0.25">
      <c r="A34" s="45">
        <v>230</v>
      </c>
      <c r="B34" s="23" t="s">
        <v>80</v>
      </c>
      <c r="C34" s="23" t="s">
        <v>68</v>
      </c>
      <c r="D34" s="23" t="s">
        <v>87</v>
      </c>
      <c r="E34" s="24" t="s">
        <v>88</v>
      </c>
      <c r="F34" s="24" t="s">
        <v>89</v>
      </c>
      <c r="G34" s="31">
        <v>0.49</v>
      </c>
      <c r="H34" s="22">
        <v>3</v>
      </c>
      <c r="I34" s="46">
        <f t="shared" si="1"/>
        <v>1.47</v>
      </c>
      <c r="J34" s="49" t="s">
        <v>92</v>
      </c>
    </row>
    <row r="35" spans="1:10" s="40" customFormat="1" x14ac:dyDescent="0.25">
      <c r="A35" s="45">
        <v>240</v>
      </c>
      <c r="B35" s="23" t="s">
        <v>80</v>
      </c>
      <c r="C35" s="23" t="s">
        <v>68</v>
      </c>
      <c r="D35" s="23" t="s">
        <v>90</v>
      </c>
      <c r="E35" s="24" t="s">
        <v>90</v>
      </c>
      <c r="F35" s="24" t="s">
        <v>91</v>
      </c>
      <c r="G35" s="31">
        <v>1.82</v>
      </c>
      <c r="H35" s="22">
        <v>2</v>
      </c>
      <c r="I35" s="46">
        <f t="shared" si="1"/>
        <v>3.64</v>
      </c>
      <c r="J35" s="49" t="s">
        <v>92</v>
      </c>
    </row>
    <row r="36" spans="1:10" s="40" customFormat="1" x14ac:dyDescent="0.25">
      <c r="A36" s="45">
        <v>250</v>
      </c>
      <c r="B36" s="23"/>
      <c r="C36" s="23"/>
      <c r="D36" s="23"/>
      <c r="E36" s="30"/>
      <c r="F36" s="24"/>
      <c r="G36" s="31"/>
      <c r="H36" s="22"/>
      <c r="I36" s="41"/>
    </row>
    <row r="37" spans="1:10" x14ac:dyDescent="0.25">
      <c r="A37" s="45">
        <v>260</v>
      </c>
      <c r="C37" s="22"/>
      <c r="D37" s="22"/>
      <c r="E37" s="25"/>
      <c r="F37" s="25"/>
      <c r="G37" s="26"/>
      <c r="H37" s="22"/>
    </row>
    <row r="38" spans="1:10" x14ac:dyDescent="0.25">
      <c r="A38" s="45">
        <v>270</v>
      </c>
      <c r="C38" s="22"/>
      <c r="D38" s="22"/>
      <c r="E38" s="27" t="s">
        <v>51</v>
      </c>
      <c r="F38" s="25"/>
      <c r="G38" s="26"/>
      <c r="H38" s="22"/>
    </row>
    <row r="39" spans="1:10" x14ac:dyDescent="0.25">
      <c r="A39" s="45">
        <v>280</v>
      </c>
      <c r="B39" s="7" t="s">
        <v>22</v>
      </c>
      <c r="C39" s="22" t="s">
        <v>20</v>
      </c>
      <c r="D39" s="22"/>
      <c r="E39" s="25" t="s">
        <v>23</v>
      </c>
      <c r="F39" s="25" t="s">
        <v>24</v>
      </c>
      <c r="G39" s="26">
        <v>1.25</v>
      </c>
      <c r="H39" s="22">
        <v>1</v>
      </c>
      <c r="I39" s="9">
        <f t="shared" si="1"/>
        <v>1.25</v>
      </c>
    </row>
    <row r="40" spans="1:10" x14ac:dyDescent="0.25">
      <c r="A40" s="45">
        <v>290</v>
      </c>
      <c r="B40" s="7" t="s">
        <v>22</v>
      </c>
      <c r="C40" s="22" t="s">
        <v>20</v>
      </c>
      <c r="D40" s="22"/>
      <c r="E40" s="25" t="s">
        <v>25</v>
      </c>
      <c r="F40" s="25" t="s">
        <v>26</v>
      </c>
      <c r="G40" s="26">
        <v>1.25</v>
      </c>
      <c r="H40" s="22">
        <v>1</v>
      </c>
      <c r="I40" s="9">
        <f t="shared" si="1"/>
        <v>1.25</v>
      </c>
    </row>
    <row r="41" spans="1:10" x14ac:dyDescent="0.25">
      <c r="A41" s="45">
        <v>300</v>
      </c>
      <c r="B41" s="3" t="s">
        <v>27</v>
      </c>
      <c r="C41" s="22" t="s">
        <v>28</v>
      </c>
      <c r="D41" s="22"/>
      <c r="E41" s="25" t="s">
        <v>29</v>
      </c>
      <c r="F41" s="25" t="s">
        <v>30</v>
      </c>
      <c r="G41" s="26">
        <v>7</v>
      </c>
      <c r="H41" s="23">
        <v>1</v>
      </c>
      <c r="I41" s="9">
        <f t="shared" si="1"/>
        <v>7</v>
      </c>
    </row>
    <row r="42" spans="1:10" x14ac:dyDescent="0.25">
      <c r="A42" s="45">
        <v>310</v>
      </c>
      <c r="B42" s="3" t="s">
        <v>31</v>
      </c>
      <c r="C42" s="22" t="s">
        <v>11</v>
      </c>
      <c r="D42" s="22">
        <v>3398637</v>
      </c>
      <c r="E42" s="28" t="s">
        <v>63</v>
      </c>
      <c r="F42" s="28" t="s">
        <v>64</v>
      </c>
      <c r="G42" s="20">
        <v>2.14</v>
      </c>
      <c r="H42" s="23">
        <v>2</v>
      </c>
      <c r="I42" s="9">
        <f t="shared" si="1"/>
        <v>4.28</v>
      </c>
    </row>
    <row r="43" spans="1:10" x14ac:dyDescent="0.25">
      <c r="A43" s="45">
        <v>320</v>
      </c>
      <c r="B43" s="7" t="s">
        <v>31</v>
      </c>
      <c r="C43" s="22" t="s">
        <v>11</v>
      </c>
      <c r="D43" s="22"/>
      <c r="E43" s="25" t="s">
        <v>32</v>
      </c>
      <c r="F43" s="25" t="s">
        <v>33</v>
      </c>
      <c r="G43" s="26">
        <v>0.65</v>
      </c>
      <c r="H43" s="22">
        <v>6</v>
      </c>
      <c r="I43" s="9">
        <f t="shared" ref="I43:I48" si="2">H43*G43</f>
        <v>3.9000000000000004</v>
      </c>
    </row>
    <row r="44" spans="1:10" x14ac:dyDescent="0.25">
      <c r="A44" s="45">
        <v>330</v>
      </c>
      <c r="B44" s="7" t="s">
        <v>31</v>
      </c>
      <c r="C44" s="22" t="s">
        <v>11</v>
      </c>
      <c r="D44" s="22"/>
      <c r="E44" s="25" t="s">
        <v>34</v>
      </c>
      <c r="F44" s="25" t="s">
        <v>35</v>
      </c>
      <c r="G44" s="26">
        <v>0.37</v>
      </c>
      <c r="H44" s="22">
        <v>5</v>
      </c>
      <c r="I44" s="9">
        <f t="shared" si="2"/>
        <v>1.85</v>
      </c>
    </row>
    <row r="45" spans="1:10" x14ac:dyDescent="0.25">
      <c r="A45" s="45">
        <v>340</v>
      </c>
      <c r="B45" s="3" t="s">
        <v>31</v>
      </c>
      <c r="C45" s="22" t="s">
        <v>11</v>
      </c>
      <c r="D45" s="22">
        <v>3363174</v>
      </c>
      <c r="E45" s="28" t="s">
        <v>61</v>
      </c>
      <c r="F45" s="28" t="s">
        <v>62</v>
      </c>
      <c r="G45" s="20">
        <v>0.63</v>
      </c>
      <c r="H45" s="22">
        <v>5</v>
      </c>
      <c r="I45" s="9">
        <f t="shared" si="2"/>
        <v>3.15</v>
      </c>
    </row>
    <row r="46" spans="1:10" x14ac:dyDescent="0.25">
      <c r="A46" s="45">
        <v>350</v>
      </c>
      <c r="B46" s="7" t="s">
        <v>31</v>
      </c>
      <c r="C46" s="22" t="s">
        <v>11</v>
      </c>
      <c r="D46" s="22"/>
      <c r="E46" s="28">
        <v>20635116</v>
      </c>
      <c r="F46" s="25" t="s">
        <v>36</v>
      </c>
      <c r="G46" s="26">
        <v>0.63</v>
      </c>
      <c r="H46" s="22">
        <v>3</v>
      </c>
      <c r="I46" s="9">
        <f t="shared" si="2"/>
        <v>1.8900000000000001</v>
      </c>
    </row>
    <row r="47" spans="1:10" ht="13.95" customHeight="1" x14ac:dyDescent="0.25">
      <c r="A47" s="45">
        <v>360</v>
      </c>
      <c r="B47" s="7" t="s">
        <v>13</v>
      </c>
      <c r="C47" s="22" t="s">
        <v>15</v>
      </c>
      <c r="D47" s="22"/>
      <c r="E47" s="25" t="s">
        <v>21</v>
      </c>
      <c r="F47" s="25" t="s">
        <v>19</v>
      </c>
      <c r="G47" s="26">
        <v>0.31</v>
      </c>
      <c r="H47" s="22">
        <v>15</v>
      </c>
      <c r="I47" s="9">
        <f t="shared" si="2"/>
        <v>4.6500000000000004</v>
      </c>
    </row>
    <row r="48" spans="1:10" ht="13.95" customHeight="1" x14ac:dyDescent="0.25">
      <c r="A48" s="45">
        <v>370</v>
      </c>
      <c r="B48" s="7" t="s">
        <v>31</v>
      </c>
      <c r="C48" s="22" t="s">
        <v>14</v>
      </c>
      <c r="D48" s="22"/>
      <c r="E48" s="32">
        <v>1732205</v>
      </c>
      <c r="F48" s="25" t="s">
        <v>16</v>
      </c>
      <c r="G48" s="26">
        <v>1</v>
      </c>
      <c r="H48" s="22">
        <v>0.25</v>
      </c>
      <c r="I48" s="9">
        <f t="shared" si="2"/>
        <v>0.25</v>
      </c>
    </row>
    <row r="49" spans="1:9" x14ac:dyDescent="0.25">
      <c r="A49" s="45">
        <v>380</v>
      </c>
      <c r="C49" s="22"/>
      <c r="D49" s="22"/>
      <c r="E49" s="25"/>
      <c r="F49" s="25"/>
      <c r="G49" s="33"/>
      <c r="H49" s="22"/>
    </row>
    <row r="50" spans="1:9" x14ac:dyDescent="0.25">
      <c r="A50" s="5"/>
      <c r="G50" s="21" t="s">
        <v>12</v>
      </c>
      <c r="I50" s="13">
        <f>SUM(I12:I48)</f>
        <v>866.38699999999983</v>
      </c>
    </row>
  </sheetData>
  <autoFilter ref="A10:J50" xr:uid="{6CCD32A1-D109-439C-83F4-0F1479D6581D}"/>
  <sortState xmlns:xlrd2="http://schemas.microsoft.com/office/spreadsheetml/2017/richdata2" ref="A12:J48">
    <sortCondition ref="A12:A48"/>
  </sortState>
  <pageMargins left="0.7" right="0.7" top="0.75" bottom="0.75" header="0.3" footer="0.3"/>
  <pageSetup scale="58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CraftAutoPC-RyanS</cp:lastModifiedBy>
  <cp:lastPrinted>2023-04-25T13:45:24Z</cp:lastPrinted>
  <dcterms:created xsi:type="dcterms:W3CDTF">2015-05-12T23:49:26Z</dcterms:created>
  <dcterms:modified xsi:type="dcterms:W3CDTF">2023-04-25T13:46:10Z</dcterms:modified>
</cp:coreProperties>
</file>